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ff9d8bf3f433fa/Mendeley Desktop/Papers/Micropile Paper/"/>
    </mc:Choice>
  </mc:AlternateContent>
  <xr:revisionPtr revIDLastSave="533" documentId="8_{AA8C185E-6C4F-48EA-8BCD-11A3165EB00A}" xr6:coauthVersionLast="47" xr6:coauthVersionMax="47" xr10:uidLastSave="{6E84B459-72AB-4BAB-85E8-5D184C672CEF}"/>
  <bookViews>
    <workbookView xWindow="38280" yWindow="-120" windowWidth="38640" windowHeight="21120" activeTab="1" xr2:uid="{8C6ED5D5-912D-4E99-A733-8F4749CC369A}"/>
  </bookViews>
  <sheets>
    <sheet name="Sheet1" sheetId="1" r:id="rId1"/>
    <sheet name="WR vs. SG" sheetId="3" r:id="rId2"/>
    <sheet name="Haliburton Red Boo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5" i="1"/>
</calcChain>
</file>

<file path=xl/sharedStrings.xml><?xml version="1.0" encoding="utf-8"?>
<sst xmlns="http://schemas.openxmlformats.org/spreadsheetml/2006/main" count="22" uniqueCount="14">
  <si>
    <t>wc</t>
  </si>
  <si>
    <t>Yield</t>
  </si>
  <si>
    <t>(CF/Sk)</t>
  </si>
  <si>
    <t>(Gal/Sk)</t>
  </si>
  <si>
    <t>Water</t>
  </si>
  <si>
    <t>Ratio</t>
  </si>
  <si>
    <t>Density</t>
  </si>
  <si>
    <t>Grout</t>
  </si>
  <si>
    <t>(lb/Gal)</t>
  </si>
  <si>
    <t>Halliburton Red Book</t>
  </si>
  <si>
    <t>Cement</t>
  </si>
  <si>
    <t>SG=3.11</t>
  </si>
  <si>
    <t>SG (grout)</t>
  </si>
  <si>
    <t>Type I/II Cement (SG=3.15)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</si>
</sst>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microsoft.com/office/2017/10/relationships/person" Target="persons/perso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Gallons of Water per Sack </a:t>
            </a:r>
            <a:r>
              <a:rPr lang="en-US" baseline="0"/>
              <a:t>vs. S.G.</a:t>
            </a:r>
            <a:endParaRPr lang="en-US"/>
          </a:p>
        </c:rich>
      </c:tx>
      <c:layout>
        <c:manualLayout>
          <c:xMode val="edge"/>
          <c:yMode val="edge"/>
          <c:x val="0.2782993905422839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Type I/II, SG=3.15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Sheet1!$B$5:$B$97</c:f>
              <c:numCache>
                <c:formatCode>0.000</c:formatCode>
                <c:ptCount val="93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1.25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1.75</c:v>
                </c:pt>
                <c:pt idx="10">
                  <c:v>1.8</c:v>
                </c:pt>
                <c:pt idx="11">
                  <c:v>1.9</c:v>
                </c:pt>
                <c:pt idx="12">
                  <c:v>2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2.25</c:v>
                </c:pt>
                <c:pt idx="16">
                  <c:v>2.2999999999999998</c:v>
                </c:pt>
                <c:pt idx="17">
                  <c:v>2.4</c:v>
                </c:pt>
                <c:pt idx="18">
                  <c:v>2.5</c:v>
                </c:pt>
                <c:pt idx="19">
                  <c:v>2.6</c:v>
                </c:pt>
                <c:pt idx="20">
                  <c:v>2.7</c:v>
                </c:pt>
                <c:pt idx="21">
                  <c:v>2.75</c:v>
                </c:pt>
                <c:pt idx="22">
                  <c:v>3</c:v>
                </c:pt>
                <c:pt idx="23">
                  <c:v>3.1</c:v>
                </c:pt>
                <c:pt idx="24">
                  <c:v>3.2</c:v>
                </c:pt>
                <c:pt idx="25">
                  <c:v>3.25</c:v>
                </c:pt>
                <c:pt idx="26">
                  <c:v>3.3</c:v>
                </c:pt>
                <c:pt idx="27">
                  <c:v>3.4</c:v>
                </c:pt>
                <c:pt idx="28">
                  <c:v>3.5</c:v>
                </c:pt>
                <c:pt idx="29">
                  <c:v>3.6</c:v>
                </c:pt>
                <c:pt idx="30">
                  <c:v>3.7</c:v>
                </c:pt>
                <c:pt idx="31">
                  <c:v>3.75</c:v>
                </c:pt>
                <c:pt idx="32">
                  <c:v>3.8</c:v>
                </c:pt>
                <c:pt idx="33">
                  <c:v>3.9</c:v>
                </c:pt>
                <c:pt idx="34">
                  <c:v>4</c:v>
                </c:pt>
                <c:pt idx="35">
                  <c:v>4.0999999999999996</c:v>
                </c:pt>
                <c:pt idx="36">
                  <c:v>4.2</c:v>
                </c:pt>
                <c:pt idx="37">
                  <c:v>4.25</c:v>
                </c:pt>
                <c:pt idx="38">
                  <c:v>4.3</c:v>
                </c:pt>
                <c:pt idx="39">
                  <c:v>4.4000000000000004</c:v>
                </c:pt>
                <c:pt idx="40">
                  <c:v>4.5</c:v>
                </c:pt>
                <c:pt idx="41">
                  <c:v>4.5999999999999996</c:v>
                </c:pt>
                <c:pt idx="42">
                  <c:v>4.7</c:v>
                </c:pt>
                <c:pt idx="43">
                  <c:v>4.75</c:v>
                </c:pt>
                <c:pt idx="44">
                  <c:v>4.8</c:v>
                </c:pt>
                <c:pt idx="45">
                  <c:v>4.9000000000000004</c:v>
                </c:pt>
                <c:pt idx="46">
                  <c:v>5</c:v>
                </c:pt>
                <c:pt idx="47">
                  <c:v>5.0999999999999996</c:v>
                </c:pt>
                <c:pt idx="48">
                  <c:v>5.2</c:v>
                </c:pt>
                <c:pt idx="49">
                  <c:v>5.25</c:v>
                </c:pt>
                <c:pt idx="50">
                  <c:v>5.3</c:v>
                </c:pt>
                <c:pt idx="51">
                  <c:v>5.4</c:v>
                </c:pt>
                <c:pt idx="52">
                  <c:v>5.5</c:v>
                </c:pt>
                <c:pt idx="53">
                  <c:v>5.6</c:v>
                </c:pt>
                <c:pt idx="54">
                  <c:v>5.7</c:v>
                </c:pt>
                <c:pt idx="55">
                  <c:v>5.75</c:v>
                </c:pt>
                <c:pt idx="56">
                  <c:v>5.8</c:v>
                </c:pt>
                <c:pt idx="57">
                  <c:v>5.9</c:v>
                </c:pt>
                <c:pt idx="58">
                  <c:v>6</c:v>
                </c:pt>
                <c:pt idx="59">
                  <c:v>6.1</c:v>
                </c:pt>
                <c:pt idx="60">
                  <c:v>6.2</c:v>
                </c:pt>
                <c:pt idx="61">
                  <c:v>6.25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6.75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7.25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7.75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8.25</c:v>
                </c:pt>
                <c:pt idx="84">
                  <c:v>8.3000000000000007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8.6999999999999993</c:v>
                </c:pt>
                <c:pt idx="89">
                  <c:v>8.75</c:v>
                </c:pt>
                <c:pt idx="90">
                  <c:v>8.8000000000000007</c:v>
                </c:pt>
                <c:pt idx="91">
                  <c:v>8.9</c:v>
                </c:pt>
                <c:pt idx="92">
                  <c:v>9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A7-4DDA-9BB7-FE66D884C935}"/>
            </c:ext>
          </c:extLst>
        </c:ser>
        <c:ser>
          <c:idx val="1"/>
          <c:order val="1"/>
          <c:tx>
            <c:v>Type IL, SG=3.11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Sheet1!$B$5:$B$97</c:f>
              <c:numCache>
                <c:formatCode>0.000</c:formatCode>
                <c:ptCount val="93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1.25</c:v>
                </c:pt>
                <c:pt idx="4">
                  <c:v>1.3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1.75</c:v>
                </c:pt>
                <c:pt idx="10">
                  <c:v>1.8</c:v>
                </c:pt>
                <c:pt idx="11">
                  <c:v>1.9</c:v>
                </c:pt>
                <c:pt idx="12">
                  <c:v>2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2.25</c:v>
                </c:pt>
                <c:pt idx="16">
                  <c:v>2.2999999999999998</c:v>
                </c:pt>
                <c:pt idx="17">
                  <c:v>2.4</c:v>
                </c:pt>
                <c:pt idx="18">
                  <c:v>2.5</c:v>
                </c:pt>
                <c:pt idx="19">
                  <c:v>2.6</c:v>
                </c:pt>
                <c:pt idx="20">
                  <c:v>2.7</c:v>
                </c:pt>
                <c:pt idx="21">
                  <c:v>2.75</c:v>
                </c:pt>
                <c:pt idx="22">
                  <c:v>3</c:v>
                </c:pt>
                <c:pt idx="23">
                  <c:v>3.1</c:v>
                </c:pt>
                <c:pt idx="24">
                  <c:v>3.2</c:v>
                </c:pt>
                <c:pt idx="25">
                  <c:v>3.25</c:v>
                </c:pt>
                <c:pt idx="26">
                  <c:v>3.3</c:v>
                </c:pt>
                <c:pt idx="27">
                  <c:v>3.4</c:v>
                </c:pt>
                <c:pt idx="28">
                  <c:v>3.5</c:v>
                </c:pt>
                <c:pt idx="29">
                  <c:v>3.6</c:v>
                </c:pt>
                <c:pt idx="30">
                  <c:v>3.7</c:v>
                </c:pt>
                <c:pt idx="31">
                  <c:v>3.75</c:v>
                </c:pt>
                <c:pt idx="32">
                  <c:v>3.8</c:v>
                </c:pt>
                <c:pt idx="33">
                  <c:v>3.9</c:v>
                </c:pt>
                <c:pt idx="34">
                  <c:v>4</c:v>
                </c:pt>
                <c:pt idx="35">
                  <c:v>4.0999999999999996</c:v>
                </c:pt>
                <c:pt idx="36">
                  <c:v>4.2</c:v>
                </c:pt>
                <c:pt idx="37">
                  <c:v>4.25</c:v>
                </c:pt>
                <c:pt idx="38">
                  <c:v>4.3</c:v>
                </c:pt>
                <c:pt idx="39">
                  <c:v>4.4000000000000004</c:v>
                </c:pt>
                <c:pt idx="40">
                  <c:v>4.5</c:v>
                </c:pt>
                <c:pt idx="41">
                  <c:v>4.5999999999999996</c:v>
                </c:pt>
                <c:pt idx="42">
                  <c:v>4.7</c:v>
                </c:pt>
                <c:pt idx="43">
                  <c:v>4.75</c:v>
                </c:pt>
                <c:pt idx="44">
                  <c:v>4.8</c:v>
                </c:pt>
                <c:pt idx="45">
                  <c:v>4.9000000000000004</c:v>
                </c:pt>
                <c:pt idx="46">
                  <c:v>5</c:v>
                </c:pt>
                <c:pt idx="47">
                  <c:v>5.0999999999999996</c:v>
                </c:pt>
                <c:pt idx="48">
                  <c:v>5.2</c:v>
                </c:pt>
                <c:pt idx="49">
                  <c:v>5.25</c:v>
                </c:pt>
                <c:pt idx="50">
                  <c:v>5.3</c:v>
                </c:pt>
                <c:pt idx="51">
                  <c:v>5.4</c:v>
                </c:pt>
                <c:pt idx="52">
                  <c:v>5.5</c:v>
                </c:pt>
                <c:pt idx="53">
                  <c:v>5.6</c:v>
                </c:pt>
                <c:pt idx="54">
                  <c:v>5.7</c:v>
                </c:pt>
                <c:pt idx="55">
                  <c:v>5.75</c:v>
                </c:pt>
                <c:pt idx="56">
                  <c:v>5.8</c:v>
                </c:pt>
                <c:pt idx="57">
                  <c:v>5.9</c:v>
                </c:pt>
                <c:pt idx="58">
                  <c:v>6</c:v>
                </c:pt>
                <c:pt idx="59">
                  <c:v>6.1</c:v>
                </c:pt>
                <c:pt idx="60">
                  <c:v>6.2</c:v>
                </c:pt>
                <c:pt idx="61">
                  <c:v>6.25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6.75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7.25</c:v>
                </c:pt>
                <c:pt idx="74">
                  <c:v>7.3</c:v>
                </c:pt>
                <c:pt idx="75">
                  <c:v>7.4</c:v>
                </c:pt>
                <c:pt idx="76">
                  <c:v>7.5</c:v>
                </c:pt>
                <c:pt idx="77">
                  <c:v>7.6</c:v>
                </c:pt>
                <c:pt idx="78">
                  <c:v>7.7</c:v>
                </c:pt>
                <c:pt idx="79">
                  <c:v>7.75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8.25</c:v>
                </c:pt>
                <c:pt idx="84">
                  <c:v>8.3000000000000007</c:v>
                </c:pt>
                <c:pt idx="85">
                  <c:v>8.4</c:v>
                </c:pt>
                <c:pt idx="86">
                  <c:v>8.5</c:v>
                </c:pt>
                <c:pt idx="87">
                  <c:v>8.6</c:v>
                </c:pt>
                <c:pt idx="88">
                  <c:v>8.6999999999999993</c:v>
                </c:pt>
                <c:pt idx="89">
                  <c:v>8.75</c:v>
                </c:pt>
                <c:pt idx="90">
                  <c:v>8.8000000000000007</c:v>
                </c:pt>
                <c:pt idx="91">
                  <c:v>8.9</c:v>
                </c:pt>
                <c:pt idx="92">
                  <c:v>9</c:v>
                </c:pt>
              </c:numCache>
            </c:numRef>
          </c:xVal>
          <c:yVal>
            <c:numRef>
              <c:f>Sheet1!$A$5:$A$97</c:f>
              <c:numCache>
                <c:formatCode>0.000</c:formatCode>
                <c:ptCount val="93"/>
                <c:pt idx="0">
                  <c:v>2.6536880813324681</c:v>
                </c:pt>
                <c:pt idx="1">
                  <c:v>2.6186745712470882</c:v>
                </c:pt>
                <c:pt idx="2">
                  <c:v>2.5851130002073397</c:v>
                </c:pt>
                <c:pt idx="3">
                  <c:v>2.5688487584650113</c:v>
                </c:pt>
                <c:pt idx="4">
                  <c:v>2.5529148892951454</c:v>
                </c:pt>
                <c:pt idx="5">
                  <c:v>2.5219988054947247</c:v>
                </c:pt>
                <c:pt idx="6">
                  <c:v>2.4922896740191294</c:v>
                </c:pt>
                <c:pt idx="7">
                  <c:v>2.4637181696343093</c:v>
                </c:pt>
                <c:pt idx="8">
                  <c:v>2.4362201765921472</c:v>
                </c:pt>
                <c:pt idx="9">
                  <c:v>2.4228550158198399</c:v>
                </c:pt>
                <c:pt idx="10">
                  <c:v>2.4097363083164303</c:v>
                </c:pt>
                <c:pt idx="11">
                  <c:v>2.3842114792685138</c:v>
                </c:pt>
                <c:pt idx="12">
                  <c:v>2.3595945224968879</c:v>
                </c:pt>
                <c:pt idx="13">
                  <c:v>2.3358378472828933</c:v>
                </c:pt>
                <c:pt idx="14">
                  <c:v>2.3128971320625107</c:v>
                </c:pt>
                <c:pt idx="15">
                  <c:v>2.3017197343776603</c:v>
                </c:pt>
                <c:pt idx="16">
                  <c:v>2.2907310484551751</c:v>
                </c:pt>
                <c:pt idx="17">
                  <c:v>2.2693010127843269</c:v>
                </c:pt>
                <c:pt idx="18">
                  <c:v>2.2485709619467582</c:v>
                </c:pt>
                <c:pt idx="19">
                  <c:v>2.2285071508918528</c:v>
                </c:pt>
                <c:pt idx="20">
                  <c:v>2.2090779693183613</c:v>
                </c:pt>
                <c:pt idx="21">
                  <c:v>2.1995920288718032</c:v>
                </c:pt>
                <c:pt idx="22">
                  <c:v>2.1543107353163218</c:v>
                </c:pt>
                <c:pt idx="23">
                  <c:v>2.1371411572214782</c:v>
                </c:pt>
                <c:pt idx="24">
                  <c:v>2.1204748644291365</c:v>
                </c:pt>
                <c:pt idx="25">
                  <c:v>2.1123235850429216</c:v>
                </c:pt>
                <c:pt idx="26">
                  <c:v>2.1042900476671966</c:v>
                </c:pt>
                <c:pt idx="27">
                  <c:v>2.0885661398262854</c:v>
                </c:pt>
                <c:pt idx="28">
                  <c:v>2.0732837287659693</c:v>
                </c:pt>
                <c:pt idx="29">
                  <c:v>2.0584244773639759</c:v>
                </c:pt>
                <c:pt idx="30">
                  <c:v>2.0439710501160726</c:v>
                </c:pt>
                <c:pt idx="31">
                  <c:v>2.0368913603689136</c:v>
                </c:pt>
                <c:pt idx="32">
                  <c:v>2.029907045668867</c:v>
                </c:pt>
                <c:pt idx="33">
                  <c:v>2.0162169347334844</c:v>
                </c:pt>
                <c:pt idx="34">
                  <c:v>2.0028860028860027</c:v>
                </c:pt>
                <c:pt idx="35">
                  <c:v>1.9899002978117313</c:v>
                </c:pt>
                <c:pt idx="36">
                  <c:v>1.9772465805956794</c:v>
                </c:pt>
                <c:pt idx="37">
                  <c:v>1.971040264194081</c:v>
                </c:pt>
                <c:pt idx="38">
                  <c:v>1.9649122807017545</c:v>
                </c:pt>
                <c:pt idx="39">
                  <c:v>1.9528854543188336</c:v>
                </c:pt>
                <c:pt idx="40">
                  <c:v>1.9411547457835774</c:v>
                </c:pt>
                <c:pt idx="41">
                  <c:v>1.9297093518180715</c:v>
                </c:pt>
                <c:pt idx="42">
                  <c:v>1.9185389883455484</c:v>
                </c:pt>
                <c:pt idx="43">
                  <c:v>1.91305386360922</c:v>
                </c:pt>
                <c:pt idx="44">
                  <c:v>1.9076338596699516</c:v>
                </c:pt>
                <c:pt idx="45">
                  <c:v>1.8969846298251789</c:v>
                </c:pt>
                <c:pt idx="46">
                  <c:v>1.8865823959178938</c:v>
                </c:pt>
                <c:pt idx="47">
                  <c:v>1.8764186633039097</c:v>
                </c:pt>
                <c:pt idx="48">
                  <c:v>1.8664853224526805</c:v>
                </c:pt>
                <c:pt idx="49">
                  <c:v>1.8616026146737292</c:v>
                </c:pt>
                <c:pt idx="50">
                  <c:v>1.8567746273674774</c:v>
                </c:pt>
                <c:pt idx="51">
                  <c:v>1.8472791754405409</c:v>
                </c:pt>
                <c:pt idx="52">
                  <c:v>1.837991888633125</c:v>
                </c:pt>
                <c:pt idx="53">
                  <c:v>1.8289059958798659</c:v>
                </c:pt>
                <c:pt idx="54">
                  <c:v>1.8200150166255495</c:v>
                </c:pt>
                <c:pt idx="55">
                  <c:v>1.8156406700096019</c:v>
                </c:pt>
                <c:pt idx="56">
                  <c:v>1.8113127454101667</c:v>
                </c:pt>
                <c:pt idx="57">
                  <c:v>1.8027932374251812</c:v>
                </c:pt>
                <c:pt idx="58">
                  <c:v>1.7944507949703834</c:v>
                </c:pt>
                <c:pt idx="59">
                  <c:v>1.7862799547464778</c:v>
                </c:pt>
                <c:pt idx="60">
                  <c:v>1.7782754759238522</c:v>
                </c:pt>
                <c:pt idx="61">
                  <c:v>1.7743340423376885</c:v>
                </c:pt>
                <c:pt idx="62">
                  <c:v>1.7704323289327826</c:v>
                </c:pt>
                <c:pt idx="63">
                  <c:v>1.7627456849246732</c:v>
                </c:pt>
                <c:pt idx="64">
                  <c:v>1.755210905857947</c:v>
                </c:pt>
                <c:pt idx="65">
                  <c:v>1.7478235351658029</c:v>
                </c:pt>
                <c:pt idx="66">
                  <c:v>1.7405792889663856</c:v>
                </c:pt>
                <c:pt idx="67">
                  <c:v>1.7370095440084834</c:v>
                </c:pt>
                <c:pt idx="68">
                  <c:v>1.7334740477789505</c:v>
                </c:pt>
                <c:pt idx="69">
                  <c:v>1.7265038487123443</c:v>
                </c:pt>
                <c:pt idx="70">
                  <c:v>1.7196648780947001</c:v>
                </c:pt>
                <c:pt idx="71">
                  <c:v>1.7129534645155278</c:v>
                </c:pt>
                <c:pt idx="72">
                  <c:v>1.7063660722535341</c:v>
                </c:pt>
                <c:pt idx="73">
                  <c:v>1.7031178147705324</c:v>
                </c:pt>
                <c:pt idx="74">
                  <c:v>1.6998992950654583</c:v>
                </c:pt>
                <c:pt idx="75">
                  <c:v>1.693549850312982</c:v>
                </c:pt>
                <c:pt idx="76">
                  <c:v>1.687314573406455</c:v>
                </c:pt>
                <c:pt idx="77">
                  <c:v>1.6811904125456656</c:v>
                </c:pt>
                <c:pt idx="78">
                  <c:v>1.6751744237392916</c:v>
                </c:pt>
                <c:pt idx="79">
                  <c:v>1.6722061021718104</c:v>
                </c:pt>
                <c:pt idx="80">
                  <c:v>1.657747569474318</c:v>
                </c:pt>
                <c:pt idx="81">
                  <c:v>1.6521368250447841</c:v>
                </c:pt>
                <c:pt idx="82">
                  <c:v>1.646620992979785</c:v>
                </c:pt>
                <c:pt idx="83">
                  <c:v>1.6438979196496251</c:v>
                </c:pt>
                <c:pt idx="84">
                  <c:v>1.6411976851463557</c:v>
                </c:pt>
                <c:pt idx="85">
                  <c:v>1.6358645928636779</c:v>
                </c:pt>
                <c:pt idx="86">
                  <c:v>1.6306194836261652</c:v>
                </c:pt>
                <c:pt idx="87">
                  <c:v>1.625460197987401</c:v>
                </c:pt>
                <c:pt idx="88">
                  <c:v>1.6203846465957965</c:v>
                </c:pt>
                <c:pt idx="89">
                  <c:v>1.617877636789784</c:v>
                </c:pt>
                <c:pt idx="90">
                  <c:v>1.6153908073734202</c:v>
                </c:pt>
                <c:pt idx="91">
                  <c:v>1.6104767228299928</c:v>
                </c:pt>
                <c:pt idx="92">
                  <c:v>1.6056404975045551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A7-4DDA-9BB7-FE66D884C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666895"/>
        <c:axId val="1439668335"/>
      </c:scatterChart>
      <c:valAx>
        <c:axId val="1439666895"/>
        <c:scaling>
          <c:orientation val="minMax"/>
          <c:max val="8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wr (Gallons</a:t>
                </a:r>
                <a:r>
                  <a:rPr lang="en-US" baseline="0"/>
                  <a:t> of Water/Sack)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68335"/>
        <c:crosses val="autoZero"/>
        <c:crossBetween val="midCat"/>
      </c:valAx>
      <c:valAx>
        <c:axId val="1439668335"/>
        <c:scaling>
          <c:orientation val="minMax"/>
          <c:max val="2.2000000000000002"/>
          <c:min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Gravity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666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1373606272942"/>
          <c:y val="0.71189249997419835"/>
          <c:w val="0.29972518740263115"/>
          <c:h val="3.402865492386923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0F30EF-C133-4512-89BF-013B624825B3}">
  <sheetPr/>
  <sheetViews>
    <sheetView tabSelected="1" zoomScale="1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80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1933C-3E06-D94A-90F7-E3D19921ED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35D5-A0E8-4E5B-AFDD-3F44744524D6}">
  <dimension ref="A1:F97"/>
  <sheetViews>
    <sheetView workbookViewId="0">
      <selection activeCell="J8" sqref="J8"/>
    </sheetView>
  </sheetViews>
  <sheetFormatPr defaultRowHeight="15" x14ac:dyDescent="0.25"/>
  <cols>
    <col min="3" max="3" width="10.140625" style="3" bestFit="1" customWidth="1"/>
    <col min="4" max="6" width="9.140625" style="3"/>
  </cols>
  <sheetData>
    <row r="1" spans="1:6" x14ac:dyDescent="0.25">
      <c r="B1" s="8" t="s">
        <v>13</v>
      </c>
      <c r="C1" s="8"/>
      <c r="D1" s="8"/>
      <c r="E1" s="8"/>
      <c r="F1" s="8"/>
    </row>
    <row r="2" spans="1:6" x14ac:dyDescent="0.25">
      <c r="B2" s="17" t="s">
        <v>4</v>
      </c>
      <c r="C2" s="20"/>
      <c r="D2" s="21"/>
      <c r="E2" s="18" t="s">
        <v>7</v>
      </c>
      <c r="F2" s="19"/>
    </row>
    <row r="3" spans="1:6" x14ac:dyDescent="0.25">
      <c r="A3" s="6" t="s">
        <v>10</v>
      </c>
      <c r="B3" s="14" t="s">
        <v>5</v>
      </c>
      <c r="C3" s="17"/>
      <c r="D3" s="18"/>
      <c r="E3" s="15" t="s">
        <v>6</v>
      </c>
      <c r="F3" s="9" t="s">
        <v>1</v>
      </c>
    </row>
    <row r="4" spans="1:6" x14ac:dyDescent="0.25">
      <c r="A4" s="6" t="s">
        <v>11</v>
      </c>
      <c r="B4" s="9" t="s">
        <v>3</v>
      </c>
      <c r="C4" s="16" t="s">
        <v>12</v>
      </c>
      <c r="D4" s="16" t="s">
        <v>0</v>
      </c>
      <c r="E4" s="9" t="s">
        <v>8</v>
      </c>
      <c r="F4" s="9" t="s">
        <v>2</v>
      </c>
    </row>
    <row r="5" spans="1:6" x14ac:dyDescent="0.25">
      <c r="A5" s="7">
        <f>(B5+11.268)/(B5+3.623)</f>
        <v>2.6536880813324681</v>
      </c>
      <c r="B5" s="10">
        <v>1</v>
      </c>
      <c r="C5" s="10">
        <f>(B5+11.268)/(B5+3.577)</f>
        <v>2.6803583133056588</v>
      </c>
      <c r="D5" s="10">
        <v>8.8999999999999996E-2</v>
      </c>
      <c r="E5" s="10">
        <v>22.358000000000001</v>
      </c>
      <c r="F5" s="11">
        <v>0.61</v>
      </c>
    </row>
    <row r="6" spans="1:6" x14ac:dyDescent="0.25">
      <c r="A6" s="2">
        <f t="shared" ref="A6:A69" si="0">(B6+11.268)/(B6+3.623)</f>
        <v>2.6186745712470882</v>
      </c>
      <c r="B6" s="12">
        <v>1.1000000000000001</v>
      </c>
      <c r="C6" s="12">
        <f>(B6+11.268)/(B6+3.577)</f>
        <v>2.644430190292923</v>
      </c>
      <c r="D6" s="12">
        <v>9.8000000000000004E-2</v>
      </c>
      <c r="E6" s="12">
        <v>22.058</v>
      </c>
      <c r="F6" s="11">
        <v>0.63</v>
      </c>
    </row>
    <row r="7" spans="1:6" x14ac:dyDescent="0.25">
      <c r="A7" s="2">
        <f t="shared" si="0"/>
        <v>2.5851130002073397</v>
      </c>
      <c r="B7" s="12">
        <v>1.2</v>
      </c>
      <c r="C7" s="12">
        <f>(B7+11.268)/(B7+3.577)</f>
        <v>2.610006280092108</v>
      </c>
      <c r="D7" s="12">
        <v>0.106</v>
      </c>
      <c r="E7" s="12">
        <v>21.771000000000001</v>
      </c>
      <c r="F7" s="11">
        <v>0.64</v>
      </c>
    </row>
    <row r="8" spans="1:6" x14ac:dyDescent="0.25">
      <c r="A8" s="2">
        <f t="shared" si="0"/>
        <v>2.5688487584650113</v>
      </c>
      <c r="B8" s="12">
        <v>1.25</v>
      </c>
      <c r="C8" s="12">
        <f>(B8+11.268)/(B8+3.577)</f>
        <v>2.5933291899730682</v>
      </c>
      <c r="D8" s="12">
        <v>0.111</v>
      </c>
      <c r="E8" s="12">
        <v>21.632000000000001</v>
      </c>
      <c r="F8" s="11">
        <v>0.65</v>
      </c>
    </row>
    <row r="9" spans="1:6" x14ac:dyDescent="0.25">
      <c r="A9" s="2">
        <f t="shared" si="0"/>
        <v>2.5529148892951454</v>
      </c>
      <c r="B9" s="12">
        <v>1.3</v>
      </c>
      <c r="C9" s="12">
        <f>(B9+11.268)/(B9+3.577)</f>
        <v>2.5769940537215503</v>
      </c>
      <c r="D9" s="12">
        <v>0.115</v>
      </c>
      <c r="E9" s="12">
        <v>21.495999999999999</v>
      </c>
      <c r="F9" s="11">
        <v>0.65</v>
      </c>
    </row>
    <row r="10" spans="1:6" x14ac:dyDescent="0.25">
      <c r="A10" s="2">
        <f t="shared" si="0"/>
        <v>2.5219988054947247</v>
      </c>
      <c r="B10" s="12">
        <v>1.4</v>
      </c>
      <c r="C10" s="12">
        <f>(B10+11.268)/(B10+3.577)</f>
        <v>2.5453084187261403</v>
      </c>
      <c r="D10" s="12">
        <v>0.124</v>
      </c>
      <c r="E10" s="12">
        <v>21.231999999999999</v>
      </c>
      <c r="F10" s="11">
        <v>0.67</v>
      </c>
    </row>
    <row r="11" spans="1:6" x14ac:dyDescent="0.25">
      <c r="A11" s="2">
        <f t="shared" si="0"/>
        <v>2.4922896740191294</v>
      </c>
      <c r="B11" s="12">
        <v>1.5</v>
      </c>
      <c r="C11" s="12">
        <f>(B11+11.268)/(B11+3.577)</f>
        <v>2.5148709868032304</v>
      </c>
      <c r="D11" s="12">
        <v>0.13300000000000001</v>
      </c>
      <c r="E11" s="12">
        <v>20.978000000000002</v>
      </c>
      <c r="F11" s="11">
        <v>0.68</v>
      </c>
    </row>
    <row r="12" spans="1:6" x14ac:dyDescent="0.25">
      <c r="A12" s="2">
        <f t="shared" si="0"/>
        <v>2.4637181696343093</v>
      </c>
      <c r="B12" s="12">
        <v>1.6</v>
      </c>
      <c r="C12" s="12">
        <f>(B12+11.268)/(B12+3.577)</f>
        <v>2.4856094263086734</v>
      </c>
      <c r="D12" s="12">
        <v>0.14199999999999999</v>
      </c>
      <c r="E12" s="12">
        <v>20.734000000000002</v>
      </c>
      <c r="F12" s="11">
        <v>0.69</v>
      </c>
    </row>
    <row r="13" spans="1:6" x14ac:dyDescent="0.25">
      <c r="A13" s="2">
        <f t="shared" si="0"/>
        <v>2.4362201765921472</v>
      </c>
      <c r="B13" s="12">
        <v>1.7</v>
      </c>
      <c r="C13" s="12">
        <f>(B13+11.268)/(B13+3.577)</f>
        <v>2.4574568883835513</v>
      </c>
      <c r="D13" s="12">
        <v>0.151</v>
      </c>
      <c r="E13" s="12">
        <v>20.498999999999999</v>
      </c>
      <c r="F13" s="11">
        <v>0.71</v>
      </c>
    </row>
    <row r="14" spans="1:6" x14ac:dyDescent="0.25">
      <c r="A14" s="2">
        <f t="shared" si="0"/>
        <v>2.4228550158198399</v>
      </c>
      <c r="B14" s="12">
        <v>1.75</v>
      </c>
      <c r="C14" s="12">
        <f>(B14+11.268)/(B14+3.577)</f>
        <v>2.4437769851698894</v>
      </c>
      <c r="D14" s="12">
        <v>0.155</v>
      </c>
      <c r="E14" s="12">
        <v>20.385000000000002</v>
      </c>
      <c r="F14" s="11">
        <v>0.71</v>
      </c>
    </row>
    <row r="15" spans="1:6" x14ac:dyDescent="0.25">
      <c r="A15" s="2">
        <f t="shared" si="0"/>
        <v>2.4097363083164303</v>
      </c>
      <c r="B15" s="12">
        <v>1.8</v>
      </c>
      <c r="C15" s="12">
        <f>(B15+11.268)/(B15+3.577)</f>
        <v>2.4303514971173521</v>
      </c>
      <c r="D15" s="12">
        <v>0.16</v>
      </c>
      <c r="E15" s="12">
        <v>20.273</v>
      </c>
      <c r="F15" s="11">
        <v>0.72</v>
      </c>
    </row>
    <row r="16" spans="1:6" x14ac:dyDescent="0.25">
      <c r="A16" s="2">
        <f t="shared" si="0"/>
        <v>2.3842114792685138</v>
      </c>
      <c r="B16" s="12">
        <v>1.9</v>
      </c>
      <c r="C16" s="12">
        <f>(B16+11.268)/(B16+3.577)</f>
        <v>2.4042358955632648</v>
      </c>
      <c r="D16" s="12">
        <v>0.16900000000000001</v>
      </c>
      <c r="E16" s="12">
        <v>20.055</v>
      </c>
      <c r="F16" s="11">
        <v>0.73</v>
      </c>
    </row>
    <row r="17" spans="1:6" x14ac:dyDescent="0.25">
      <c r="A17" s="7">
        <f t="shared" si="0"/>
        <v>2.3595945224968879</v>
      </c>
      <c r="B17" s="10">
        <v>2</v>
      </c>
      <c r="C17" s="10">
        <f>(B17+11.268)/(B17+3.577)</f>
        <v>2.3790568405953021</v>
      </c>
      <c r="D17" s="10">
        <v>0.17699999999999999</v>
      </c>
      <c r="E17" s="10">
        <v>19.844999999999999</v>
      </c>
      <c r="F17" s="13">
        <v>0.75</v>
      </c>
    </row>
    <row r="18" spans="1:6" x14ac:dyDescent="0.25">
      <c r="A18" s="2">
        <f t="shared" si="0"/>
        <v>2.3358378472828933</v>
      </c>
      <c r="B18" s="12">
        <v>2.1</v>
      </c>
      <c r="C18" s="12">
        <f>(B18+11.268)/(B18+3.577)</f>
        <v>2.3547648405848163</v>
      </c>
      <c r="D18" s="12">
        <v>0.186</v>
      </c>
      <c r="E18" s="12">
        <v>19.641999999999999</v>
      </c>
      <c r="F18" s="11">
        <v>0.76</v>
      </c>
    </row>
    <row r="19" spans="1:6" x14ac:dyDescent="0.25">
      <c r="A19" s="2">
        <f t="shared" si="0"/>
        <v>2.3128971320625107</v>
      </c>
      <c r="B19" s="12">
        <v>2.2000000000000002</v>
      </c>
      <c r="C19" s="12">
        <f>(B19+11.268)/(B19+3.577)</f>
        <v>2.3313138307079799</v>
      </c>
      <c r="D19" s="12">
        <v>0.19500000000000001</v>
      </c>
      <c r="E19" s="12">
        <v>19.446999999999999</v>
      </c>
      <c r="F19" s="11">
        <v>0.77</v>
      </c>
    </row>
    <row r="20" spans="1:6" x14ac:dyDescent="0.25">
      <c r="A20" s="2">
        <f t="shared" si="0"/>
        <v>2.3017197343776603</v>
      </c>
      <c r="B20" s="12">
        <v>2.25</v>
      </c>
      <c r="C20" s="12">
        <f>(B20+11.268)/(B20+3.577)</f>
        <v>2.3198901664664495</v>
      </c>
      <c r="D20" s="12">
        <v>0.2</v>
      </c>
      <c r="E20" s="12">
        <v>19.352</v>
      </c>
      <c r="F20" s="11">
        <v>0.78</v>
      </c>
    </row>
    <row r="21" spans="1:6" x14ac:dyDescent="0.25">
      <c r="A21" s="2">
        <f t="shared" si="0"/>
        <v>2.2907310484551751</v>
      </c>
      <c r="B21" s="12">
        <v>2.2999999999999998</v>
      </c>
      <c r="C21" s="12">
        <f>(B21+11.268)/(B21+3.577)</f>
        <v>2.3086608814020764</v>
      </c>
      <c r="D21" s="12">
        <v>0.20399999999999999</v>
      </c>
      <c r="E21" s="12">
        <v>19.257999999999999</v>
      </c>
      <c r="F21" s="11">
        <v>0.79</v>
      </c>
    </row>
    <row r="22" spans="1:6" x14ac:dyDescent="0.25">
      <c r="A22" s="2">
        <f t="shared" si="0"/>
        <v>2.2693010127843269</v>
      </c>
      <c r="B22" s="12">
        <v>2.4</v>
      </c>
      <c r="C22" s="12">
        <f>(B22+11.268)/(B22+3.577)</f>
        <v>2.2867659360883388</v>
      </c>
      <c r="D22" s="12">
        <v>0.21299999999999999</v>
      </c>
      <c r="E22" s="12">
        <v>19.074999999999999</v>
      </c>
      <c r="F22" s="11">
        <v>0.8</v>
      </c>
    </row>
    <row r="23" spans="1:6" x14ac:dyDescent="0.25">
      <c r="A23" s="2">
        <f t="shared" si="0"/>
        <v>2.2485709619467582</v>
      </c>
      <c r="B23" s="12">
        <v>2.5</v>
      </c>
      <c r="C23" s="12">
        <f>(B23+11.268)/(B23+3.577)</f>
        <v>2.2655915747901925</v>
      </c>
      <c r="D23" s="12">
        <v>0.222</v>
      </c>
      <c r="E23" s="12">
        <v>18.899000000000001</v>
      </c>
      <c r="F23" s="11">
        <v>0.81</v>
      </c>
    </row>
    <row r="24" spans="1:6" x14ac:dyDescent="0.25">
      <c r="A24" s="2">
        <f t="shared" si="0"/>
        <v>2.2285071508918528</v>
      </c>
      <c r="B24" s="12">
        <v>2.6</v>
      </c>
      <c r="C24" s="12">
        <f>(B24+11.268)/(B24+3.577)</f>
        <v>2.2451028007123202</v>
      </c>
      <c r="D24" s="12">
        <v>0.23100000000000001</v>
      </c>
      <c r="E24" s="12">
        <v>18.728000000000002</v>
      </c>
      <c r="F24" s="11">
        <v>0.83</v>
      </c>
    </row>
    <row r="25" spans="1:6" x14ac:dyDescent="0.25">
      <c r="A25" s="2">
        <f t="shared" si="0"/>
        <v>2.2090779693183613</v>
      </c>
      <c r="B25" s="12">
        <v>2.7</v>
      </c>
      <c r="C25" s="12">
        <f>(B25+11.268)/(B25+3.577)</f>
        <v>2.2252668472200097</v>
      </c>
      <c r="D25" s="12">
        <v>0.24</v>
      </c>
      <c r="E25" s="12">
        <v>15.561999999999999</v>
      </c>
      <c r="F25" s="11">
        <v>0.84</v>
      </c>
    </row>
    <row r="26" spans="1:6" x14ac:dyDescent="0.25">
      <c r="A26" s="2">
        <f t="shared" si="0"/>
        <v>2.1995920288718032</v>
      </c>
      <c r="B26" s="12">
        <v>2.75</v>
      </c>
      <c r="C26" s="12">
        <f>(B26+11.268)/(B26+3.577)</f>
        <v>2.2155840050576896</v>
      </c>
      <c r="D26" s="12">
        <v>0.24399999999999999</v>
      </c>
      <c r="E26" s="12">
        <v>18.481999999999999</v>
      </c>
      <c r="F26" s="11">
        <v>0.85</v>
      </c>
    </row>
    <row r="27" spans="1:6" x14ac:dyDescent="0.25">
      <c r="A27" s="7">
        <f t="shared" si="0"/>
        <v>2.1543107353163218</v>
      </c>
      <c r="B27" s="10">
        <v>3</v>
      </c>
      <c r="C27" s="10">
        <f>(B27+11.268)/(B27+3.577)</f>
        <v>2.1693781359282349</v>
      </c>
      <c r="D27" s="10">
        <v>0.26600000000000001</v>
      </c>
      <c r="E27" s="10">
        <v>18.096</v>
      </c>
      <c r="F27" s="13">
        <v>0.88</v>
      </c>
    </row>
    <row r="28" spans="1:6" x14ac:dyDescent="0.25">
      <c r="A28" s="2">
        <f t="shared" si="0"/>
        <v>2.1371411572214782</v>
      </c>
      <c r="B28" s="12">
        <v>3.1</v>
      </c>
      <c r="C28" s="12">
        <f>(B28+11.268)/(B28+3.577)</f>
        <v>2.1518646098547252</v>
      </c>
      <c r="D28" s="12">
        <v>0.27500000000000002</v>
      </c>
      <c r="E28" s="12">
        <v>17.95</v>
      </c>
      <c r="F28" s="11">
        <v>0.89</v>
      </c>
    </row>
    <row r="29" spans="1:6" x14ac:dyDescent="0.25">
      <c r="A29" s="2">
        <f t="shared" si="0"/>
        <v>2.1204748644291365</v>
      </c>
      <c r="B29" s="12">
        <v>3.2</v>
      </c>
      <c r="C29" s="12">
        <f>(B29+11.268)/(B29+3.577)</f>
        <v>2.1348679356647482</v>
      </c>
      <c r="D29" s="12">
        <v>0.28399999999999997</v>
      </c>
      <c r="E29" s="12">
        <v>17.808</v>
      </c>
      <c r="F29" s="11">
        <v>0.91</v>
      </c>
    </row>
    <row r="30" spans="1:6" x14ac:dyDescent="0.25">
      <c r="A30" s="2">
        <f t="shared" si="0"/>
        <v>2.1123235850429216</v>
      </c>
      <c r="B30" s="12">
        <v>3.25</v>
      </c>
      <c r="C30" s="12">
        <f>(B30+11.268)/(B30+3.577)</f>
        <v>2.1265563204921634</v>
      </c>
      <c r="D30" s="12">
        <v>0.28799999999999998</v>
      </c>
      <c r="E30" s="12">
        <v>17.739000000000001</v>
      </c>
      <c r="F30" s="11">
        <v>0.91</v>
      </c>
    </row>
    <row r="31" spans="1:6" x14ac:dyDescent="0.25">
      <c r="A31" s="2">
        <f t="shared" si="0"/>
        <v>2.1042900476671966</v>
      </c>
      <c r="B31" s="12">
        <v>3.3</v>
      </c>
      <c r="C31" s="12">
        <f>(B31+11.268)/(B31+3.577)</f>
        <v>2.1183655663806897</v>
      </c>
      <c r="D31" s="12">
        <v>0.29299999999999998</v>
      </c>
      <c r="E31" s="12">
        <v>17.670999999999999</v>
      </c>
      <c r="F31" s="11">
        <v>0.92</v>
      </c>
    </row>
    <row r="32" spans="1:6" x14ac:dyDescent="0.25">
      <c r="A32" s="2">
        <f t="shared" si="0"/>
        <v>2.0885661398262854</v>
      </c>
      <c r="B32" s="12">
        <v>3.4</v>
      </c>
      <c r="C32" s="12">
        <f>(B32+11.268)/(B32+3.577)</f>
        <v>2.1023362476709186</v>
      </c>
      <c r="D32" s="12">
        <v>0.30199999999999999</v>
      </c>
      <c r="E32" s="12">
        <v>17.536999999999999</v>
      </c>
      <c r="F32" s="11">
        <v>0.93</v>
      </c>
    </row>
    <row r="33" spans="1:6" x14ac:dyDescent="0.25">
      <c r="A33" s="2">
        <f t="shared" si="0"/>
        <v>2.0732837287659693</v>
      </c>
      <c r="B33" s="12">
        <v>3.5</v>
      </c>
      <c r="C33" s="12">
        <f>(B33+11.268)/(B33+3.577)</f>
        <v>2.0867599265225381</v>
      </c>
      <c r="D33" s="12">
        <v>0.311</v>
      </c>
      <c r="E33" s="12">
        <v>17.407</v>
      </c>
      <c r="F33" s="11">
        <v>0.95</v>
      </c>
    </row>
    <row r="34" spans="1:6" x14ac:dyDescent="0.25">
      <c r="A34" s="2">
        <f t="shared" si="0"/>
        <v>2.0584244773639759</v>
      </c>
      <c r="B34" s="12">
        <v>3.6</v>
      </c>
      <c r="C34" s="12">
        <f>(B34+11.268)/(B34+3.577)</f>
        <v>2.0716176675491154</v>
      </c>
      <c r="D34" s="12">
        <v>0.31900000000000001</v>
      </c>
      <c r="E34" s="12">
        <v>17.280999999999999</v>
      </c>
      <c r="F34" s="11">
        <v>0.96</v>
      </c>
    </row>
    <row r="35" spans="1:6" x14ac:dyDescent="0.25">
      <c r="A35" s="2">
        <f t="shared" si="0"/>
        <v>2.0439710501160726</v>
      </c>
      <c r="B35" s="12">
        <v>3.7</v>
      </c>
      <c r="C35" s="12">
        <f>(B35+11.268)/(B35+3.577)</f>
        <v>2.056891576198983</v>
      </c>
      <c r="D35" s="12">
        <v>0.32800000000000001</v>
      </c>
      <c r="E35" s="12">
        <v>17.158000000000001</v>
      </c>
      <c r="F35" s="11">
        <v>0.97</v>
      </c>
    </row>
    <row r="36" spans="1:6" x14ac:dyDescent="0.25">
      <c r="A36" s="2">
        <f t="shared" si="0"/>
        <v>2.0368913603689136</v>
      </c>
      <c r="B36" s="12">
        <v>3.75</v>
      </c>
      <c r="C36" s="12">
        <f>(B36+11.268)/(B36+3.577)</f>
        <v>2.0496792684591241</v>
      </c>
      <c r="D36" s="12">
        <v>0.33300000000000002</v>
      </c>
      <c r="E36" s="12">
        <v>17.097999999999999</v>
      </c>
      <c r="F36" s="11">
        <v>0.98</v>
      </c>
    </row>
    <row r="37" spans="1:6" x14ac:dyDescent="0.25">
      <c r="A37" s="2">
        <f t="shared" si="0"/>
        <v>2.029907045668867</v>
      </c>
      <c r="B37" s="12">
        <v>3.8</v>
      </c>
      <c r="C37" s="12">
        <f>(B37+11.268)/(B37+3.577)</f>
        <v>2.0425647282092996</v>
      </c>
      <c r="D37" s="12">
        <v>0.33700000000000002</v>
      </c>
      <c r="E37" s="12">
        <v>17.038</v>
      </c>
      <c r="F37" s="11">
        <v>0.99</v>
      </c>
    </row>
    <row r="38" spans="1:6" x14ac:dyDescent="0.25">
      <c r="A38" s="2">
        <f t="shared" si="0"/>
        <v>2.0162169347334844</v>
      </c>
      <c r="B38" s="12">
        <v>3.9</v>
      </c>
      <c r="C38" s="12">
        <f>(B38+11.268)/(B38+3.577)</f>
        <v>2.0286211047211449</v>
      </c>
      <c r="D38" s="12">
        <v>0.34599999999999997</v>
      </c>
      <c r="E38" s="12">
        <v>16.922000000000001</v>
      </c>
      <c r="F38" s="11">
        <v>1</v>
      </c>
    </row>
    <row r="39" spans="1:6" x14ac:dyDescent="0.25">
      <c r="A39" s="7">
        <f t="shared" si="0"/>
        <v>2.0028860028860027</v>
      </c>
      <c r="B39" s="10">
        <v>4</v>
      </c>
      <c r="C39" s="10">
        <f>(B39+11.268)/(B39+3.577)</f>
        <v>2.0150455325326648</v>
      </c>
      <c r="D39" s="10">
        <v>0.35499999999999998</v>
      </c>
      <c r="E39" s="10">
        <v>16.809000000000001</v>
      </c>
      <c r="F39" s="13">
        <v>1.01</v>
      </c>
    </row>
    <row r="40" spans="1:6" x14ac:dyDescent="0.25">
      <c r="A40" s="2">
        <f t="shared" si="0"/>
        <v>1.9899002978117313</v>
      </c>
      <c r="B40" s="12">
        <v>4.0999999999999996</v>
      </c>
      <c r="C40" s="12">
        <f>(B40+11.268)/(B40+3.577)</f>
        <v>2.0018236290217533</v>
      </c>
      <c r="D40" s="12">
        <v>0.36399999999999999</v>
      </c>
      <c r="E40" s="12">
        <v>16.699000000000002</v>
      </c>
      <c r="F40" s="11">
        <v>1.03</v>
      </c>
    </row>
    <row r="41" spans="1:6" x14ac:dyDescent="0.25">
      <c r="A41" s="2">
        <f t="shared" si="0"/>
        <v>1.9772465805956794</v>
      </c>
      <c r="B41" s="12">
        <v>4.2</v>
      </c>
      <c r="C41" s="12">
        <f>(B41+11.268)/(B41+3.577)</f>
        <v>1.988941751317989</v>
      </c>
      <c r="D41" s="12">
        <v>0.373</v>
      </c>
      <c r="E41" s="12">
        <v>16.591000000000001</v>
      </c>
      <c r="F41" s="11">
        <v>1.04</v>
      </c>
    </row>
    <row r="42" spans="1:6" x14ac:dyDescent="0.25">
      <c r="A42" s="2">
        <f t="shared" si="0"/>
        <v>1.971040264194081</v>
      </c>
      <c r="B42" s="12">
        <v>4.25</v>
      </c>
      <c r="C42" s="12">
        <f>(B42+11.268)/(B42+3.577)</f>
        <v>1.9826242493931265</v>
      </c>
      <c r="D42" s="12">
        <v>0.377</v>
      </c>
      <c r="E42" s="12">
        <v>16.538</v>
      </c>
      <c r="F42" s="11">
        <v>1.05</v>
      </c>
    </row>
    <row r="43" spans="1:6" x14ac:dyDescent="0.25">
      <c r="A43" s="2">
        <f t="shared" si="0"/>
        <v>1.9649122807017545</v>
      </c>
      <c r="B43" s="12">
        <v>4.3</v>
      </c>
      <c r="C43" s="12">
        <f>(B43+11.268)/(B43+3.577)</f>
        <v>1.9763869493461981</v>
      </c>
      <c r="D43" s="12">
        <v>0.38200000000000001</v>
      </c>
      <c r="E43" s="12">
        <v>16.486000000000001</v>
      </c>
      <c r="F43" s="11">
        <v>1.05</v>
      </c>
    </row>
    <row r="44" spans="1:6" x14ac:dyDescent="0.25">
      <c r="A44" s="2">
        <f t="shared" si="0"/>
        <v>1.9528854543188336</v>
      </c>
      <c r="B44" s="12">
        <v>4.4000000000000004</v>
      </c>
      <c r="C44" s="12">
        <f>(B44+11.268)/(B44+3.577)</f>
        <v>1.9641469224019055</v>
      </c>
      <c r="D44" s="12">
        <v>0.39</v>
      </c>
      <c r="E44" s="12">
        <v>16.384</v>
      </c>
      <c r="F44" s="11">
        <v>1.07</v>
      </c>
    </row>
    <row r="45" spans="1:6" x14ac:dyDescent="0.25">
      <c r="A45" s="2">
        <f t="shared" si="0"/>
        <v>1.9411547457835774</v>
      </c>
      <c r="B45" s="12">
        <v>4.5</v>
      </c>
      <c r="C45" s="12">
        <f>(B45+11.268)/(B45+3.577)</f>
        <v>1.9522099789525815</v>
      </c>
      <c r="D45" s="12">
        <v>0.39900000000000002</v>
      </c>
      <c r="E45" s="12">
        <v>16.285</v>
      </c>
      <c r="F45" s="11">
        <v>1.08</v>
      </c>
    </row>
    <row r="46" spans="1:6" x14ac:dyDescent="0.25">
      <c r="A46" s="2">
        <f t="shared" si="0"/>
        <v>1.9297093518180715</v>
      </c>
      <c r="B46" s="12">
        <v>4.5999999999999996</v>
      </c>
      <c r="C46" s="12">
        <f>(B46+11.268)/(B46+3.577)</f>
        <v>1.940564999388529</v>
      </c>
      <c r="D46" s="12">
        <v>0.40799999999999997</v>
      </c>
      <c r="E46" s="12">
        <v>16.187999999999999</v>
      </c>
      <c r="F46" s="11">
        <v>1.0900000000000001</v>
      </c>
    </row>
    <row r="47" spans="1:6" x14ac:dyDescent="0.25">
      <c r="A47" s="2">
        <f t="shared" si="0"/>
        <v>1.9185389883455484</v>
      </c>
      <c r="B47" s="12">
        <v>4.7</v>
      </c>
      <c r="C47" s="12">
        <f>(B47+11.268)/(B47+3.577)</f>
        <v>1.9292014014739638</v>
      </c>
      <c r="D47" s="12">
        <v>0.41699999999999998</v>
      </c>
      <c r="E47" s="12">
        <v>16.093</v>
      </c>
      <c r="F47" s="11">
        <v>1.1100000000000001</v>
      </c>
    </row>
    <row r="48" spans="1:6" x14ac:dyDescent="0.25">
      <c r="A48" s="2">
        <f t="shared" si="0"/>
        <v>1.91305386360922</v>
      </c>
      <c r="B48" s="12">
        <v>4.75</v>
      </c>
      <c r="C48" s="12">
        <f>(B48+11.268)/(B48+3.577)</f>
        <v>1.9236219526840399</v>
      </c>
      <c r="D48" s="12">
        <v>0.42199999999999999</v>
      </c>
      <c r="E48" s="12">
        <v>16.045999999999999</v>
      </c>
      <c r="F48" s="11">
        <v>1.1100000000000001</v>
      </c>
    </row>
    <row r="49" spans="1:6" x14ac:dyDescent="0.25">
      <c r="A49" s="2">
        <f t="shared" si="0"/>
        <v>1.9076338596699516</v>
      </c>
      <c r="B49" s="12">
        <v>4.8</v>
      </c>
      <c r="C49" s="12">
        <f>(B49+11.268)/(B49+3.577)</f>
        <v>1.9181091082726518</v>
      </c>
      <c r="D49" s="12">
        <v>0.42599999999999999</v>
      </c>
      <c r="E49" s="12">
        <v>16</v>
      </c>
      <c r="F49" s="11">
        <v>1.1200000000000001</v>
      </c>
    </row>
    <row r="50" spans="1:6" x14ac:dyDescent="0.25">
      <c r="A50" s="2">
        <f t="shared" si="0"/>
        <v>1.8969846298251789</v>
      </c>
      <c r="B50" s="12">
        <v>4.9000000000000004</v>
      </c>
      <c r="C50" s="12">
        <f>(B50+11.268)/(B50+3.577)</f>
        <v>1.9072785183437535</v>
      </c>
      <c r="D50" s="12">
        <v>0.435</v>
      </c>
      <c r="E50" s="12">
        <v>15.91</v>
      </c>
      <c r="F50" s="11">
        <v>1.1299999999999999</v>
      </c>
    </row>
    <row r="51" spans="1:6" x14ac:dyDescent="0.25">
      <c r="A51" s="7">
        <f t="shared" si="0"/>
        <v>1.8865823959178938</v>
      </c>
      <c r="B51" s="10">
        <v>5</v>
      </c>
      <c r="C51" s="10">
        <f>(B51+11.268)/(B51+3.577)</f>
        <v>1.8967004780226187</v>
      </c>
      <c r="D51" s="10">
        <v>0.44400000000000001</v>
      </c>
      <c r="E51" s="10">
        <v>15.821999999999999</v>
      </c>
      <c r="F51" s="13">
        <v>1.1499999999999999</v>
      </c>
    </row>
    <row r="52" spans="1:6" x14ac:dyDescent="0.25">
      <c r="A52" s="2">
        <f t="shared" si="0"/>
        <v>1.8764186633039097</v>
      </c>
      <c r="B52" s="12">
        <v>5.0999999999999996</v>
      </c>
      <c r="C52" s="12">
        <f>(B52+11.268)/(B52+3.577)</f>
        <v>1.8863662556183016</v>
      </c>
      <c r="D52" s="12">
        <v>0.45300000000000001</v>
      </c>
      <c r="E52" s="12">
        <v>15.734999999999999</v>
      </c>
      <c r="F52" s="11">
        <v>1.1599999999999999</v>
      </c>
    </row>
    <row r="53" spans="1:6" x14ac:dyDescent="0.25">
      <c r="A53" s="2">
        <f t="shared" si="0"/>
        <v>1.8664853224526805</v>
      </c>
      <c r="B53" s="12">
        <v>5.2</v>
      </c>
      <c r="C53" s="12">
        <f>(B53+11.268)/(B53+3.577)</f>
        <v>1.876267517374957</v>
      </c>
      <c r="D53" s="12">
        <v>0.46100000000000002</v>
      </c>
      <c r="E53" s="12">
        <v>15.651</v>
      </c>
      <c r="F53" s="11">
        <v>1.17</v>
      </c>
    </row>
    <row r="54" spans="1:6" x14ac:dyDescent="0.25">
      <c r="A54" s="2">
        <f t="shared" si="0"/>
        <v>1.8616026146737292</v>
      </c>
      <c r="B54" s="12">
        <v>5.25</v>
      </c>
      <c r="C54" s="12">
        <f>(B54+11.268)/(B54+3.577)</f>
        <v>1.8713039537781806</v>
      </c>
      <c r="D54" s="12">
        <v>0.46600000000000003</v>
      </c>
      <c r="E54" s="12">
        <v>15.61</v>
      </c>
      <c r="F54" s="11">
        <v>1.18</v>
      </c>
    </row>
    <row r="55" spans="1:6" x14ac:dyDescent="0.25">
      <c r="A55" s="2">
        <f t="shared" si="0"/>
        <v>1.8567746273674774</v>
      </c>
      <c r="B55" s="12">
        <v>5.3</v>
      </c>
      <c r="C55" s="12">
        <f>(B55+11.268)/(B55+3.577)</f>
        <v>1.8663963050580155</v>
      </c>
      <c r="D55" s="12">
        <v>0.47</v>
      </c>
      <c r="E55" s="12">
        <v>15.569000000000001</v>
      </c>
      <c r="F55" s="11">
        <v>1.19</v>
      </c>
    </row>
    <row r="56" spans="1:6" x14ac:dyDescent="0.25">
      <c r="A56" s="2">
        <f t="shared" si="0"/>
        <v>1.8472791754405409</v>
      </c>
      <c r="B56" s="12">
        <v>5.4</v>
      </c>
      <c r="C56" s="12">
        <f>(B56+11.268)/(B56+3.577)</f>
        <v>1.8567450150384315</v>
      </c>
      <c r="D56" s="12">
        <v>0.47899999999999998</v>
      </c>
      <c r="E56" s="12">
        <v>15.488</v>
      </c>
      <c r="F56" s="11">
        <v>1.2</v>
      </c>
    </row>
    <row r="57" spans="1:6" x14ac:dyDescent="0.25">
      <c r="A57" s="2">
        <f t="shared" si="0"/>
        <v>1.837991888633125</v>
      </c>
      <c r="B57" s="12">
        <v>5.5</v>
      </c>
      <c r="C57" s="12">
        <f>(B57+11.268)/(B57+3.577)</f>
        <v>1.8473063787595021</v>
      </c>
      <c r="D57" s="12">
        <v>0.48799999999999999</v>
      </c>
      <c r="E57" s="12">
        <v>15.41</v>
      </c>
      <c r="F57" s="11">
        <v>1.21</v>
      </c>
    </row>
    <row r="58" spans="1:6" x14ac:dyDescent="0.25">
      <c r="A58" s="2">
        <f t="shared" si="0"/>
        <v>1.8289059958798659</v>
      </c>
      <c r="B58" s="12">
        <v>5.6</v>
      </c>
      <c r="C58" s="12">
        <f>(B58+11.268)/(B58+3.577)</f>
        <v>1.8380734444807674</v>
      </c>
      <c r="D58" s="12">
        <v>0.497</v>
      </c>
      <c r="E58" s="12">
        <v>15.333</v>
      </c>
      <c r="F58" s="11">
        <v>1.23</v>
      </c>
    </row>
    <row r="59" spans="1:6" x14ac:dyDescent="0.25">
      <c r="A59" s="2">
        <f t="shared" si="0"/>
        <v>1.8200150166255495</v>
      </c>
      <c r="B59" s="12">
        <v>5.7</v>
      </c>
      <c r="C59" s="12">
        <f>(B59+11.268)/(B59+3.577)</f>
        <v>1.8290395602026515</v>
      </c>
      <c r="D59" s="12">
        <v>0.50600000000000001</v>
      </c>
      <c r="E59" s="12">
        <v>15.257</v>
      </c>
      <c r="F59" s="11">
        <v>1.24</v>
      </c>
    </row>
    <row r="60" spans="1:6" x14ac:dyDescent="0.25">
      <c r="A60" s="2">
        <f t="shared" si="0"/>
        <v>1.8156406700096019</v>
      </c>
      <c r="B60" s="12">
        <v>5.75</v>
      </c>
      <c r="C60" s="12">
        <f>(B60+11.268)/(B60+3.577)</f>
        <v>1.8245952610700118</v>
      </c>
      <c r="D60" s="12">
        <v>0.51</v>
      </c>
      <c r="E60" s="12">
        <v>15.22</v>
      </c>
      <c r="F60" s="11">
        <v>1.25</v>
      </c>
    </row>
    <row r="61" spans="1:6" x14ac:dyDescent="0.25">
      <c r="A61" s="2">
        <f t="shared" si="0"/>
        <v>1.8113127454101667</v>
      </c>
      <c r="B61" s="12">
        <v>5.8</v>
      </c>
      <c r="C61" s="12">
        <f>(B61+11.268)/(B61+3.577)</f>
        <v>1.8201983576836944</v>
      </c>
      <c r="D61" s="12">
        <v>0.51500000000000001</v>
      </c>
      <c r="E61" s="12">
        <v>15.183999999999999</v>
      </c>
      <c r="F61" s="11">
        <v>1.25</v>
      </c>
    </row>
    <row r="62" spans="1:6" x14ac:dyDescent="0.25">
      <c r="A62" s="2">
        <f t="shared" si="0"/>
        <v>1.8027932374251812</v>
      </c>
      <c r="B62" s="12">
        <v>5.9</v>
      </c>
      <c r="C62" s="12">
        <f>(B62+11.268)/(B62+3.577)</f>
        <v>1.8115437374696632</v>
      </c>
      <c r="D62" s="12">
        <v>0.52400000000000002</v>
      </c>
      <c r="E62" s="12">
        <v>15.111000000000001</v>
      </c>
      <c r="F62" s="11">
        <v>1.27</v>
      </c>
    </row>
    <row r="63" spans="1:6" x14ac:dyDescent="0.25">
      <c r="A63" s="7">
        <f t="shared" si="0"/>
        <v>1.7944507949703834</v>
      </c>
      <c r="B63" s="10">
        <v>6</v>
      </c>
      <c r="C63" s="10">
        <f>(B63+11.268)/(B63+3.577)</f>
        <v>1.8030698548606037</v>
      </c>
      <c r="D63" s="10">
        <v>0.53200000000000003</v>
      </c>
      <c r="E63" s="10">
        <v>15.041</v>
      </c>
      <c r="F63" s="13">
        <v>1.28</v>
      </c>
    </row>
    <row r="64" spans="1:6" x14ac:dyDescent="0.25">
      <c r="A64" s="2">
        <f t="shared" si="0"/>
        <v>1.7862799547464778</v>
      </c>
      <c r="B64" s="12">
        <v>6.1</v>
      </c>
      <c r="C64" s="12">
        <f>(B64+11.268)/(B64+3.577)</f>
        <v>1.7947711067479595</v>
      </c>
      <c r="D64" s="12">
        <v>0.54100000000000004</v>
      </c>
      <c r="E64" s="12">
        <v>14.971</v>
      </c>
      <c r="F64" s="11">
        <v>1.29</v>
      </c>
    </row>
    <row r="65" spans="1:6" x14ac:dyDescent="0.25">
      <c r="A65" s="2">
        <f t="shared" si="0"/>
        <v>1.7782754759238522</v>
      </c>
      <c r="B65" s="12">
        <v>6.2</v>
      </c>
      <c r="C65" s="12">
        <f>(B65+11.268)/(B65+3.577)</f>
        <v>1.7866421192594863</v>
      </c>
      <c r="D65" s="12">
        <v>0.55000000000000004</v>
      </c>
      <c r="E65" s="12">
        <v>14.904</v>
      </c>
      <c r="F65" s="11">
        <v>1.31</v>
      </c>
    </row>
    <row r="66" spans="1:6" x14ac:dyDescent="0.25">
      <c r="A66" s="2">
        <f t="shared" si="0"/>
        <v>1.7743340423376885</v>
      </c>
      <c r="B66" s="12">
        <v>6.25</v>
      </c>
      <c r="C66" s="12">
        <f>(B66+11.268)/(B66+3.577)</f>
        <v>1.7826396662257047</v>
      </c>
      <c r="D66" s="12">
        <v>0.55500000000000005</v>
      </c>
      <c r="E66" s="12">
        <v>14.87</v>
      </c>
      <c r="F66" s="11">
        <v>1.31</v>
      </c>
    </row>
    <row r="67" spans="1:6" x14ac:dyDescent="0.25">
      <c r="A67" s="2">
        <f t="shared" si="0"/>
        <v>1.7704323289327826</v>
      </c>
      <c r="B67" s="12">
        <v>6.3</v>
      </c>
      <c r="C67" s="12">
        <f>(B67+11.268)/(B67+3.577)</f>
        <v>1.7786777361547033</v>
      </c>
      <c r="D67" s="12">
        <v>0.55900000000000005</v>
      </c>
      <c r="E67" s="12">
        <v>14.837</v>
      </c>
      <c r="F67" s="11">
        <v>1.32</v>
      </c>
    </row>
    <row r="68" spans="1:6" x14ac:dyDescent="0.25">
      <c r="A68" s="2">
        <f t="shared" si="0"/>
        <v>1.7627456849246732</v>
      </c>
      <c r="B68" s="12">
        <v>6.4</v>
      </c>
      <c r="C68" s="12">
        <f>(B68+11.268)/(B68+3.577)</f>
        <v>1.7708730079182118</v>
      </c>
      <c r="D68" s="12">
        <v>0.56799999999999995</v>
      </c>
      <c r="E68" s="12">
        <v>14.772</v>
      </c>
      <c r="F68" s="11">
        <v>1.33</v>
      </c>
    </row>
    <row r="69" spans="1:6" x14ac:dyDescent="0.25">
      <c r="A69" s="2">
        <f t="shared" si="0"/>
        <v>1.755210905857947</v>
      </c>
      <c r="B69" s="12">
        <v>6.5</v>
      </c>
      <c r="C69" s="12">
        <f>(B69+11.268)/(B69+3.577)</f>
        <v>1.7632231815024313</v>
      </c>
      <c r="D69" s="12">
        <v>0.57699999999999996</v>
      </c>
      <c r="E69" s="12">
        <v>14.708</v>
      </c>
      <c r="F69" s="11">
        <v>1.35</v>
      </c>
    </row>
    <row r="70" spans="1:6" x14ac:dyDescent="0.25">
      <c r="A70" s="2">
        <f t="shared" ref="A70:A97" si="1">(B70+11.268)/(B70+3.623)</f>
        <v>1.7478235351658029</v>
      </c>
      <c r="B70" s="12">
        <v>6.6</v>
      </c>
      <c r="C70" s="12">
        <f>(B70+11.268)/(B70+3.577)</f>
        <v>1.755723690675052</v>
      </c>
      <c r="D70" s="12">
        <v>0.58599999999999997</v>
      </c>
      <c r="E70" s="12">
        <v>14.646000000000001</v>
      </c>
      <c r="F70" s="11">
        <v>1.36</v>
      </c>
    </row>
    <row r="71" spans="1:6" x14ac:dyDescent="0.25">
      <c r="A71" s="2">
        <f t="shared" si="1"/>
        <v>1.7405792889663856</v>
      </c>
      <c r="B71" s="12">
        <v>6.7</v>
      </c>
      <c r="C71" s="12">
        <f>(B71+11.268)/(B71+3.577)</f>
        <v>1.7483701469300377</v>
      </c>
      <c r="D71" s="12">
        <v>0.59499999999999997</v>
      </c>
      <c r="E71" s="12">
        <v>14.584</v>
      </c>
      <c r="F71" s="11">
        <v>1.37</v>
      </c>
    </row>
    <row r="72" spans="1:6" x14ac:dyDescent="0.25">
      <c r="A72" s="2">
        <f t="shared" si="1"/>
        <v>1.7370095440084834</v>
      </c>
      <c r="B72" s="12">
        <v>6.75</v>
      </c>
      <c r="C72" s="12">
        <f>(B72+11.268)/(B72+3.577)</f>
        <v>1.7447467802846908</v>
      </c>
      <c r="D72" s="12">
        <v>0.59899999999999998</v>
      </c>
      <c r="E72" s="12">
        <v>14.554</v>
      </c>
      <c r="F72" s="11">
        <v>1.38</v>
      </c>
    </row>
    <row r="73" spans="1:6" x14ac:dyDescent="0.25">
      <c r="A73" s="2">
        <f t="shared" si="1"/>
        <v>1.7334740477789505</v>
      </c>
      <c r="B73" s="12">
        <v>6.8</v>
      </c>
      <c r="C73" s="12">
        <f>(B73+11.268)/(B73+3.577)</f>
        <v>1.7411583309241596</v>
      </c>
      <c r="D73" s="12">
        <v>0.60299999999999998</v>
      </c>
      <c r="E73" s="12">
        <v>14.523999999999999</v>
      </c>
      <c r="F73" s="11">
        <v>1.39</v>
      </c>
    </row>
    <row r="74" spans="1:6" x14ac:dyDescent="0.25">
      <c r="A74" s="2">
        <f t="shared" si="1"/>
        <v>1.7265038487123443</v>
      </c>
      <c r="B74" s="12">
        <v>6.9</v>
      </c>
      <c r="C74" s="12">
        <f>(B74+11.268)/(B74+3.577)</f>
        <v>1.7340841844039323</v>
      </c>
      <c r="D74" s="12">
        <v>0.61199999999999999</v>
      </c>
      <c r="E74" s="12">
        <v>14.465</v>
      </c>
      <c r="F74" s="11">
        <v>1.4</v>
      </c>
    </row>
    <row r="75" spans="1:6" x14ac:dyDescent="0.25">
      <c r="A75" s="7">
        <f t="shared" si="1"/>
        <v>1.7196648780947001</v>
      </c>
      <c r="B75" s="10">
        <v>7</v>
      </c>
      <c r="C75" s="10">
        <f>(B75+11.268)/(B75+3.577)</f>
        <v>1.7271438025905266</v>
      </c>
      <c r="D75" s="10">
        <v>0.621</v>
      </c>
      <c r="E75" s="10">
        <v>14.407</v>
      </c>
      <c r="F75" s="13">
        <v>1.41</v>
      </c>
    </row>
    <row r="76" spans="1:6" x14ac:dyDescent="0.25">
      <c r="A76" s="2">
        <f t="shared" si="1"/>
        <v>1.7129534645155278</v>
      </c>
      <c r="B76" s="12">
        <v>7.1</v>
      </c>
      <c r="C76" s="12">
        <f>(B76+11.268)/(B76+3.577)</f>
        <v>1.7203334269926012</v>
      </c>
      <c r="D76" s="12">
        <v>0.63</v>
      </c>
      <c r="E76" s="12">
        <v>14.351000000000001</v>
      </c>
      <c r="F76" s="11">
        <v>1.43</v>
      </c>
    </row>
    <row r="77" spans="1:6" x14ac:dyDescent="0.25">
      <c r="A77" s="2">
        <f t="shared" si="1"/>
        <v>1.7063660722535341</v>
      </c>
      <c r="B77" s="12">
        <v>7.2</v>
      </c>
      <c r="C77" s="12">
        <f>(B77+11.268)/(B77+3.577)</f>
        <v>1.7136494386192815</v>
      </c>
      <c r="D77" s="12">
        <v>0.63900000000000001</v>
      </c>
      <c r="E77" s="12">
        <v>14.295</v>
      </c>
      <c r="F77" s="11">
        <v>1.44</v>
      </c>
    </row>
    <row r="78" spans="1:6" x14ac:dyDescent="0.25">
      <c r="A78" s="2">
        <f t="shared" si="1"/>
        <v>1.7031178147705324</v>
      </c>
      <c r="B78" s="12">
        <v>7.25</v>
      </c>
      <c r="C78" s="12">
        <f>(B78+11.268)/(B78+3.577)</f>
        <v>1.7103537452664634</v>
      </c>
      <c r="D78" s="12">
        <v>0.64300000000000002</v>
      </c>
      <c r="E78" s="12">
        <v>14.266999999999999</v>
      </c>
      <c r="F78" s="11">
        <v>1.45</v>
      </c>
    </row>
    <row r="79" spans="1:6" x14ac:dyDescent="0.25">
      <c r="A79" s="2">
        <f t="shared" si="1"/>
        <v>1.6998992950654583</v>
      </c>
      <c r="B79" s="12">
        <v>7.3</v>
      </c>
      <c r="C79" s="12">
        <f>(B79+11.268)/(B79+3.577)</f>
        <v>1.7070883515675281</v>
      </c>
      <c r="D79" s="12">
        <v>0.64800000000000002</v>
      </c>
      <c r="E79" s="12">
        <v>14.24</v>
      </c>
      <c r="F79" s="11">
        <v>1.45</v>
      </c>
    </row>
    <row r="80" spans="1:6" x14ac:dyDescent="0.25">
      <c r="A80" s="2">
        <f t="shared" si="1"/>
        <v>1.693549850312982</v>
      </c>
      <c r="B80" s="12">
        <v>7.4</v>
      </c>
      <c r="C80" s="12">
        <f>(B80+11.268)/(B80+3.577)</f>
        <v>1.7006468069600071</v>
      </c>
      <c r="D80" s="12">
        <v>0.65700000000000003</v>
      </c>
      <c r="E80" s="12">
        <v>14.186</v>
      </c>
      <c r="F80" s="11">
        <v>1.47</v>
      </c>
    </row>
    <row r="81" spans="1:6" x14ac:dyDescent="0.25">
      <c r="A81" s="2">
        <f t="shared" si="1"/>
        <v>1.687314573406455</v>
      </c>
      <c r="B81" s="12">
        <v>7.5</v>
      </c>
      <c r="C81" s="12">
        <f>(B81+11.268)/(B81+3.577)</f>
        <v>1.694321567211339</v>
      </c>
      <c r="D81" s="12">
        <v>0.66600000000000004</v>
      </c>
      <c r="E81" s="12">
        <v>14.134</v>
      </c>
      <c r="F81" s="11">
        <v>1.48</v>
      </c>
    </row>
    <row r="82" spans="1:6" x14ac:dyDescent="0.25">
      <c r="A82" s="2">
        <f t="shared" si="1"/>
        <v>1.6811904125456656</v>
      </c>
      <c r="B82" s="12">
        <v>7.6</v>
      </c>
      <c r="C82" s="12">
        <f>(B82+11.268)/(B82+3.577)</f>
        <v>1.6881095106021295</v>
      </c>
      <c r="D82" s="12">
        <v>0.67400000000000004</v>
      </c>
      <c r="E82" s="12">
        <v>14.082000000000001</v>
      </c>
      <c r="F82" s="11">
        <v>1.49</v>
      </c>
    </row>
    <row r="83" spans="1:6" x14ac:dyDescent="0.25">
      <c r="A83" s="2">
        <f t="shared" si="1"/>
        <v>1.6751744237392916</v>
      </c>
      <c r="B83" s="12">
        <v>7.7</v>
      </c>
      <c r="C83" s="12">
        <f>(B83+11.268)/(B83+3.577)</f>
        <v>1.6820076261417043</v>
      </c>
      <c r="D83" s="12">
        <v>0.68300000000000005</v>
      </c>
      <c r="E83" s="12">
        <v>14.031000000000001</v>
      </c>
      <c r="F83" s="11">
        <v>1.51</v>
      </c>
    </row>
    <row r="84" spans="1:6" x14ac:dyDescent="0.25">
      <c r="A84" s="2">
        <f t="shared" si="1"/>
        <v>1.6722061021718104</v>
      </c>
      <c r="B84" s="12">
        <v>7.75</v>
      </c>
      <c r="C84" s="12">
        <f>(B84+11.268)/(B84+3.577)</f>
        <v>1.6789970866072217</v>
      </c>
      <c r="D84" s="12">
        <v>0.68799999999999994</v>
      </c>
      <c r="E84" s="12">
        <v>14.006</v>
      </c>
      <c r="F84" s="11">
        <v>1.51</v>
      </c>
    </row>
    <row r="85" spans="1:6" x14ac:dyDescent="0.25">
      <c r="A85" s="7">
        <f t="shared" si="1"/>
        <v>1.657747569474318</v>
      </c>
      <c r="B85" s="10">
        <v>8</v>
      </c>
      <c r="C85" s="10">
        <f>(B85+11.268)/(B85+3.577)</f>
        <v>1.6643344562494602</v>
      </c>
      <c r="D85" s="10">
        <v>0.71</v>
      </c>
      <c r="E85" s="10">
        <v>13.882999999999999</v>
      </c>
      <c r="F85" s="13">
        <v>1.55</v>
      </c>
    </row>
    <row r="86" spans="1:6" x14ac:dyDescent="0.25">
      <c r="A86" s="2">
        <f t="shared" si="1"/>
        <v>1.6521368250447841</v>
      </c>
      <c r="B86" s="12">
        <v>8.1</v>
      </c>
      <c r="C86" s="12">
        <f>(B86+11.268)/(B86+3.577)</f>
        <v>1.6586451999657448</v>
      </c>
      <c r="D86" s="12">
        <v>0.71899999999999997</v>
      </c>
      <c r="E86" s="12">
        <v>13.836</v>
      </c>
      <c r="F86" s="11">
        <v>1.56</v>
      </c>
    </row>
    <row r="87" spans="1:6" x14ac:dyDescent="0.25">
      <c r="A87" s="2">
        <f t="shared" si="1"/>
        <v>1.646620992979785</v>
      </c>
      <c r="B87" s="12">
        <v>8.1999999999999993</v>
      </c>
      <c r="C87" s="12">
        <f>(B87+11.268)/(B87+3.577)</f>
        <v>1.6530525600747221</v>
      </c>
      <c r="D87" s="12">
        <v>0.72799999999999998</v>
      </c>
      <c r="E87" s="12">
        <v>13.789</v>
      </c>
      <c r="F87" s="11">
        <v>1.57</v>
      </c>
    </row>
    <row r="88" spans="1:6" x14ac:dyDescent="0.25">
      <c r="A88" s="2">
        <f t="shared" si="1"/>
        <v>1.6438979196496251</v>
      </c>
      <c r="B88" s="12">
        <v>8.25</v>
      </c>
      <c r="C88" s="12">
        <f>(B88+11.268)/(B88+3.577)</f>
        <v>1.6502917054198023</v>
      </c>
      <c r="D88" s="12">
        <v>0.73199999999999998</v>
      </c>
      <c r="E88" s="12">
        <v>13.766</v>
      </c>
      <c r="F88" s="11">
        <v>1.58</v>
      </c>
    </row>
    <row r="89" spans="1:6" x14ac:dyDescent="0.25">
      <c r="A89" s="2">
        <f t="shared" si="1"/>
        <v>1.6411976851463557</v>
      </c>
      <c r="B89" s="12">
        <v>8.3000000000000007</v>
      </c>
      <c r="C89" s="12">
        <f>(B89+11.268)/(B89+3.577)</f>
        <v>1.647554096152227</v>
      </c>
      <c r="D89" s="12">
        <v>0.73699999999999999</v>
      </c>
      <c r="E89" s="12">
        <v>13.743</v>
      </c>
      <c r="F89" s="11">
        <v>1.59</v>
      </c>
    </row>
    <row r="90" spans="1:6" x14ac:dyDescent="0.25">
      <c r="A90" s="2">
        <f t="shared" si="1"/>
        <v>1.6358645928636779</v>
      </c>
      <c r="B90" s="12">
        <v>8.4</v>
      </c>
      <c r="C90" s="12">
        <f>(B90+11.268)/(B90+3.577)</f>
        <v>1.6421474492777823</v>
      </c>
      <c r="D90" s="12">
        <v>0.745</v>
      </c>
      <c r="E90" s="12">
        <v>13.698</v>
      </c>
      <c r="F90" s="11">
        <v>1.6</v>
      </c>
    </row>
    <row r="91" spans="1:6" x14ac:dyDescent="0.25">
      <c r="A91" s="2">
        <f t="shared" si="1"/>
        <v>1.6306194836261652</v>
      </c>
      <c r="B91" s="12">
        <v>8.5</v>
      </c>
      <c r="C91" s="12">
        <f>(B91+11.268)/(B91+3.577)</f>
        <v>1.6368303386602634</v>
      </c>
      <c r="D91" s="12">
        <v>0.754</v>
      </c>
      <c r="E91" s="12">
        <v>13.654</v>
      </c>
      <c r="F91" s="11">
        <v>1.61</v>
      </c>
    </row>
    <row r="92" spans="1:6" x14ac:dyDescent="0.25">
      <c r="A92" s="2">
        <f t="shared" si="1"/>
        <v>1.625460197987401</v>
      </c>
      <c r="B92" s="12">
        <v>8.6</v>
      </c>
      <c r="C92" s="12">
        <f>(B92+11.268)/(B92+3.577)</f>
        <v>1.631600558429827</v>
      </c>
      <c r="D92" s="12">
        <v>0.76300000000000001</v>
      </c>
      <c r="E92" s="12">
        <v>13.61</v>
      </c>
      <c r="F92" s="11">
        <v>1.63</v>
      </c>
    </row>
    <row r="93" spans="1:6" x14ac:dyDescent="0.25">
      <c r="A93" s="2">
        <f t="shared" si="1"/>
        <v>1.6203846465957965</v>
      </c>
      <c r="B93" s="12">
        <v>8.6999999999999993</v>
      </c>
      <c r="C93" s="12">
        <f>(B93+11.268)/(B93+3.577)</f>
        <v>1.6264559745866254</v>
      </c>
      <c r="D93" s="12">
        <v>0.77200000000000002</v>
      </c>
      <c r="E93" s="12">
        <v>13.567</v>
      </c>
      <c r="F93" s="11">
        <v>1.64</v>
      </c>
    </row>
    <row r="94" spans="1:6" x14ac:dyDescent="0.25">
      <c r="A94" s="2">
        <f t="shared" si="1"/>
        <v>1.617877636789784</v>
      </c>
      <c r="B94" s="12">
        <v>8.75</v>
      </c>
      <c r="C94" s="12">
        <f>(B94+11.268)/(B94+3.577)</f>
        <v>1.6239149833698385</v>
      </c>
      <c r="D94" s="12">
        <v>0.77600000000000002</v>
      </c>
      <c r="E94" s="12">
        <v>13.545999999999999</v>
      </c>
      <c r="F94" s="11">
        <v>1.65</v>
      </c>
    </row>
    <row r="95" spans="1:6" x14ac:dyDescent="0.25">
      <c r="A95" s="2">
        <f t="shared" si="1"/>
        <v>1.6153908073734202</v>
      </c>
      <c r="B95" s="12">
        <v>8.8000000000000007</v>
      </c>
      <c r="C95" s="12">
        <f>(B95+11.268)/(B95+3.577)</f>
        <v>1.6213945220974388</v>
      </c>
      <c r="D95" s="12">
        <v>0.78100000000000003</v>
      </c>
      <c r="E95" s="12">
        <v>13.525</v>
      </c>
      <c r="F95" s="11">
        <v>1.65</v>
      </c>
    </row>
    <row r="96" spans="1:6" x14ac:dyDescent="0.25">
      <c r="A96" s="2">
        <f t="shared" si="1"/>
        <v>1.6104767228299928</v>
      </c>
      <c r="B96" s="12">
        <v>8.9</v>
      </c>
      <c r="C96" s="12">
        <f>(B96+11.268)/(B96+3.577)</f>
        <v>1.6164142021319226</v>
      </c>
      <c r="D96" s="12">
        <v>0.79</v>
      </c>
      <c r="E96" s="12">
        <v>13.484</v>
      </c>
      <c r="F96" s="11">
        <v>1.67</v>
      </c>
    </row>
    <row r="97" spans="1:6" x14ac:dyDescent="0.25">
      <c r="A97" s="7">
        <f t="shared" si="1"/>
        <v>1.6056404975045551</v>
      </c>
      <c r="B97" s="10">
        <v>9</v>
      </c>
      <c r="C97" s="10">
        <f>(B97+11.268)/(B97+3.577)</f>
        <v>1.6115130794307069</v>
      </c>
      <c r="D97" s="10">
        <v>0.79900000000000004</v>
      </c>
      <c r="E97" s="10">
        <v>13.443</v>
      </c>
      <c r="F97" s="13">
        <v>1.68</v>
      </c>
    </row>
  </sheetData>
  <mergeCells count="1">
    <mergeCell ref="B1:F1"/>
  </mergeCells>
  <phoneticPr fontId="2" type="noConversion"/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F437-9972-434F-8834-7CCE448E8A5E}">
  <dimension ref="A2:C41"/>
  <sheetViews>
    <sheetView workbookViewId="0">
      <selection activeCell="G19" sqref="G19"/>
    </sheetView>
  </sheetViews>
  <sheetFormatPr defaultRowHeight="15" x14ac:dyDescent="0.25"/>
  <sheetData>
    <row r="2" spans="1:3" x14ac:dyDescent="0.25">
      <c r="A2" s="5" t="s">
        <v>9</v>
      </c>
      <c r="B2" s="5"/>
      <c r="C2" s="5"/>
    </row>
    <row r="3" spans="1:3" x14ac:dyDescent="0.25">
      <c r="A3" s="4" t="s">
        <v>7</v>
      </c>
      <c r="C3" s="4" t="s">
        <v>4</v>
      </c>
    </row>
    <row r="4" spans="1:3" x14ac:dyDescent="0.25">
      <c r="A4" s="4" t="s">
        <v>6</v>
      </c>
      <c r="B4" s="4" t="s">
        <v>1</v>
      </c>
      <c r="C4" s="4" t="s">
        <v>5</v>
      </c>
    </row>
    <row r="5" spans="1:3" x14ac:dyDescent="0.25">
      <c r="A5" s="4" t="s">
        <v>8</v>
      </c>
      <c r="B5" s="4" t="s">
        <v>2</v>
      </c>
      <c r="C5" s="4" t="s">
        <v>3</v>
      </c>
    </row>
    <row r="6" spans="1:3" x14ac:dyDescent="0.25">
      <c r="A6" s="1">
        <v>14</v>
      </c>
      <c r="B6" s="2">
        <v>1.51</v>
      </c>
      <c r="C6" s="2">
        <v>7.71</v>
      </c>
    </row>
    <row r="7" spans="1:3" x14ac:dyDescent="0.25">
      <c r="A7" s="1">
        <v>14.1</v>
      </c>
      <c r="B7" s="2">
        <v>1.48</v>
      </c>
      <c r="C7" s="2">
        <v>7.52</v>
      </c>
    </row>
    <row r="8" spans="1:3" x14ac:dyDescent="0.25">
      <c r="A8" s="1">
        <v>14.2</v>
      </c>
      <c r="B8" s="2">
        <v>1.46</v>
      </c>
      <c r="C8" s="2">
        <v>7.33</v>
      </c>
    </row>
    <row r="9" spans="1:3" x14ac:dyDescent="0.25">
      <c r="A9" s="1">
        <v>14.3</v>
      </c>
      <c r="B9" s="2">
        <v>1.44</v>
      </c>
      <c r="C9" s="2">
        <v>7.14</v>
      </c>
    </row>
    <row r="10" spans="1:3" x14ac:dyDescent="0.25">
      <c r="A10" s="1">
        <v>14.4</v>
      </c>
      <c r="B10" s="2">
        <v>1.41</v>
      </c>
      <c r="C10" s="2">
        <v>6.97</v>
      </c>
    </row>
    <row r="11" spans="1:3" x14ac:dyDescent="0.25">
      <c r="A11" s="1">
        <v>14.5</v>
      </c>
      <c r="B11" s="2">
        <v>1.39</v>
      </c>
      <c r="C11" s="2">
        <v>6.8</v>
      </c>
    </row>
    <row r="12" spans="1:3" x14ac:dyDescent="0.25">
      <c r="A12" s="1">
        <v>14.6</v>
      </c>
      <c r="B12" s="2">
        <v>1.37</v>
      </c>
      <c r="C12" s="2">
        <v>6.63</v>
      </c>
    </row>
    <row r="13" spans="1:3" x14ac:dyDescent="0.25">
      <c r="A13" s="1">
        <v>14.7</v>
      </c>
      <c r="B13" s="2">
        <v>1.34</v>
      </c>
      <c r="C13" s="2">
        <v>6.47</v>
      </c>
    </row>
    <row r="14" spans="1:3" x14ac:dyDescent="0.25">
      <c r="A14" s="1">
        <v>14.8</v>
      </c>
      <c r="B14" s="2">
        <v>1.32</v>
      </c>
      <c r="C14" s="2">
        <v>6.31</v>
      </c>
    </row>
    <row r="15" spans="1:3" x14ac:dyDescent="0.25">
      <c r="A15" s="1">
        <v>14.9</v>
      </c>
      <c r="B15" s="2">
        <v>1.3</v>
      </c>
      <c r="C15" s="2">
        <v>6.16</v>
      </c>
    </row>
    <row r="16" spans="1:3" x14ac:dyDescent="0.25">
      <c r="A16" s="1">
        <v>15</v>
      </c>
      <c r="B16" s="2">
        <v>1.28</v>
      </c>
      <c r="C16" s="2">
        <v>6.02</v>
      </c>
    </row>
    <row r="17" spans="1:3" x14ac:dyDescent="0.25">
      <c r="A17" s="1">
        <v>15.1</v>
      </c>
      <c r="B17" s="2">
        <v>1.27</v>
      </c>
      <c r="C17" s="2">
        <v>5.88</v>
      </c>
    </row>
    <row r="18" spans="1:3" x14ac:dyDescent="0.25">
      <c r="A18" s="1">
        <v>15.2</v>
      </c>
      <c r="B18" s="2">
        <v>1.25</v>
      </c>
      <c r="C18" s="2">
        <v>5.74</v>
      </c>
    </row>
    <row r="19" spans="1:3" x14ac:dyDescent="0.25">
      <c r="A19" s="1">
        <v>15.3</v>
      </c>
      <c r="B19" s="2">
        <v>1.23</v>
      </c>
      <c r="C19" s="2">
        <v>5.6</v>
      </c>
    </row>
    <row r="20" spans="1:3" x14ac:dyDescent="0.25">
      <c r="A20" s="1">
        <v>15.4</v>
      </c>
      <c r="B20" s="2">
        <v>1.21</v>
      </c>
      <c r="C20" s="2">
        <v>5.47</v>
      </c>
    </row>
    <row r="21" spans="1:3" x14ac:dyDescent="0.25">
      <c r="A21" s="1">
        <v>15.5</v>
      </c>
      <c r="B21" s="2">
        <v>1.19</v>
      </c>
      <c r="C21" s="2">
        <v>5.35</v>
      </c>
    </row>
    <row r="22" spans="1:3" x14ac:dyDescent="0.25">
      <c r="A22" s="1">
        <v>15.6</v>
      </c>
      <c r="B22" s="2">
        <v>1.18</v>
      </c>
      <c r="C22" s="2">
        <v>5.22</v>
      </c>
    </row>
    <row r="23" spans="1:3" x14ac:dyDescent="0.25">
      <c r="A23" s="1">
        <v>15.7</v>
      </c>
      <c r="B23" s="2">
        <v>1.1599999999999999</v>
      </c>
      <c r="C23" s="2">
        <v>5.1100000000000003</v>
      </c>
    </row>
    <row r="24" spans="1:3" x14ac:dyDescent="0.25">
      <c r="A24" s="1">
        <v>15.8</v>
      </c>
      <c r="B24" s="2">
        <v>1.1499999999999999</v>
      </c>
      <c r="C24" s="2">
        <v>4.99</v>
      </c>
    </row>
    <row r="25" spans="1:3" x14ac:dyDescent="0.25">
      <c r="A25" s="1">
        <v>15.9</v>
      </c>
      <c r="B25" s="2">
        <v>1.1299999999999999</v>
      </c>
      <c r="C25" s="2">
        <v>4.88</v>
      </c>
    </row>
    <row r="26" spans="1:3" x14ac:dyDescent="0.25">
      <c r="A26" s="1">
        <v>16</v>
      </c>
      <c r="B26" s="2">
        <v>1.1200000000000001</v>
      </c>
      <c r="C26" s="2">
        <v>4.76</v>
      </c>
    </row>
    <row r="27" spans="1:3" x14ac:dyDescent="0.25">
      <c r="A27" s="1">
        <v>16.100000000000001</v>
      </c>
      <c r="B27" s="2">
        <v>1.1000000000000001</v>
      </c>
      <c r="C27" s="2">
        <v>4.66</v>
      </c>
    </row>
    <row r="28" spans="1:3" x14ac:dyDescent="0.25">
      <c r="A28" s="1">
        <v>16.2</v>
      </c>
      <c r="B28" s="2">
        <v>1.0900000000000001</v>
      </c>
      <c r="C28" s="2">
        <v>4.55</v>
      </c>
    </row>
    <row r="29" spans="1:3" x14ac:dyDescent="0.25">
      <c r="A29" s="1">
        <v>16.3</v>
      </c>
      <c r="B29" s="2">
        <v>1.07</v>
      </c>
      <c r="C29" s="2">
        <v>4.45</v>
      </c>
    </row>
    <row r="30" spans="1:3" x14ac:dyDescent="0.25">
      <c r="A30" s="1">
        <v>16.399999999999999</v>
      </c>
      <c r="B30" s="2">
        <v>1.06</v>
      </c>
      <c r="C30" s="2">
        <v>4.3499999999999996</v>
      </c>
    </row>
    <row r="31" spans="1:3" x14ac:dyDescent="0.25">
      <c r="A31" s="1">
        <v>16.5</v>
      </c>
      <c r="B31" s="2">
        <v>1.05</v>
      </c>
      <c r="C31" s="2">
        <v>4.25</v>
      </c>
    </row>
    <row r="32" spans="1:3" x14ac:dyDescent="0.25">
      <c r="A32" s="1">
        <v>16.600000000000001</v>
      </c>
      <c r="B32" s="2">
        <v>1.04</v>
      </c>
      <c r="C32" s="2">
        <v>4.16</v>
      </c>
    </row>
    <row r="33" spans="1:3" x14ac:dyDescent="0.25">
      <c r="A33" s="1">
        <v>16.7</v>
      </c>
      <c r="B33" s="2">
        <v>1.02</v>
      </c>
      <c r="C33" s="2">
        <v>4.07</v>
      </c>
    </row>
    <row r="34" spans="1:3" x14ac:dyDescent="0.25">
      <c r="A34" s="1">
        <v>16.8</v>
      </c>
      <c r="B34" s="2">
        <v>1.01</v>
      </c>
      <c r="C34" s="2">
        <v>3.98</v>
      </c>
    </row>
    <row r="35" spans="1:3" x14ac:dyDescent="0.25">
      <c r="A35" s="1">
        <v>16.899999999999999</v>
      </c>
      <c r="B35" s="2">
        <v>1</v>
      </c>
      <c r="C35" s="2">
        <v>3.89</v>
      </c>
    </row>
    <row r="36" spans="1:3" x14ac:dyDescent="0.25">
      <c r="A36" s="1">
        <v>17</v>
      </c>
      <c r="B36" s="2">
        <v>0.99</v>
      </c>
      <c r="C36" s="2">
        <v>3.8</v>
      </c>
    </row>
    <row r="37" spans="1:3" x14ac:dyDescent="0.25">
      <c r="A37" s="1">
        <v>17.100000000000001</v>
      </c>
      <c r="B37" s="2">
        <v>0.98</v>
      </c>
      <c r="C37" s="2">
        <v>3.72</v>
      </c>
    </row>
    <row r="38" spans="1:3" x14ac:dyDescent="0.25">
      <c r="A38" s="1">
        <v>17.2</v>
      </c>
      <c r="B38" s="2">
        <v>0.97</v>
      </c>
      <c r="C38" s="2">
        <v>3.63</v>
      </c>
    </row>
    <row r="39" spans="1:3" x14ac:dyDescent="0.25">
      <c r="A39" s="1">
        <v>17.3</v>
      </c>
      <c r="B39" s="2">
        <v>0.96</v>
      </c>
      <c r="C39" s="2">
        <v>3.55</v>
      </c>
    </row>
    <row r="40" spans="1:3" x14ac:dyDescent="0.25">
      <c r="A40" s="1">
        <v>17.399999999999999</v>
      </c>
      <c r="B40" s="2">
        <v>0.94</v>
      </c>
      <c r="C40" s="2">
        <v>3.48</v>
      </c>
    </row>
    <row r="41" spans="1:3" x14ac:dyDescent="0.25">
      <c r="A41" s="1">
        <v>17.5</v>
      </c>
      <c r="B41" s="2">
        <v>0.93</v>
      </c>
      <c r="C41" s="2">
        <v>3.4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Haliburton Red Book</vt:lpstr>
      <vt:lpstr>WR vs. 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Dotson</dc:creator>
  <cp:lastModifiedBy>Don Dotson</cp:lastModifiedBy>
  <dcterms:created xsi:type="dcterms:W3CDTF">2026-01-22T14:08:13Z</dcterms:created>
  <dcterms:modified xsi:type="dcterms:W3CDTF">2026-02-04T22:24:20Z</dcterms:modified>
</cp:coreProperties>
</file>